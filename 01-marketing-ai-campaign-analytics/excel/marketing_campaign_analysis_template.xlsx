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ddmi\Downloads\01-marketing-ai-campaign-analytics\excel\"/>
    </mc:Choice>
  </mc:AlternateContent>
  <xr:revisionPtr revIDLastSave="0" documentId="13_ncr:1_{84AA2E34-60BA-46D7-9505-2129AE52FE6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ME" sheetId="1" r:id="rId1"/>
    <sheet name="Inputs" sheetId="2" r:id="rId2"/>
    <sheet name="Platform KPIs" sheetId="3" r:id="rId3"/>
    <sheet name="Campaign Types" sheetId="4" r:id="rId4"/>
    <sheet name="Budget Scena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C4" i="5"/>
  <c r="B4" i="5"/>
  <c r="A4" i="5"/>
  <c r="D3" i="5"/>
  <c r="C3" i="5"/>
  <c r="E4" i="5" s="1"/>
  <c r="B3" i="5"/>
  <c r="A3" i="5"/>
  <c r="D2" i="5"/>
  <c r="C2" i="5"/>
  <c r="E2" i="5" s="1"/>
  <c r="B2" i="5"/>
  <c r="A2" i="5"/>
  <c r="E3" i="5" l="1"/>
  <c r="F3" i="5" s="1"/>
  <c r="G3" i="5" s="1"/>
  <c r="H3" i="5" s="1"/>
  <c r="F2" i="5" l="1"/>
  <c r="G2" i="5" s="1"/>
  <c r="H2" i="5" s="1"/>
  <c r="F4" i="5"/>
  <c r="G4" i="5" s="1"/>
  <c r="H4" i="5" s="1"/>
</calcChain>
</file>

<file path=xl/sharedStrings.xml><?xml version="1.0" encoding="utf-8"?>
<sst xmlns="http://schemas.openxmlformats.org/spreadsheetml/2006/main" count="47" uniqueCount="33">
  <si>
    <t>Marketing AI Campaign Analytics</t>
  </si>
  <si>
    <t>This workbook supports KPI review and budget reallocation analysis for the marketing project.</t>
  </si>
  <si>
    <t>AI Assistance Used: KPI framing, workbook layout suggestions, and documentation support.</t>
  </si>
  <si>
    <t>Budget Reallocation Controls</t>
  </si>
  <si>
    <t>Current Total Budget</t>
  </si>
  <si>
    <t>ROAS Weight</t>
  </si>
  <si>
    <t>Conversion Rate Weight</t>
  </si>
  <si>
    <t>platform</t>
  </si>
  <si>
    <t>impressions</t>
  </si>
  <si>
    <t>clicks</t>
  </si>
  <si>
    <t>CTR</t>
  </si>
  <si>
    <t>ad_spend</t>
  </si>
  <si>
    <t>CPC</t>
  </si>
  <si>
    <t>conversions</t>
  </si>
  <si>
    <t>conversion_rate</t>
  </si>
  <si>
    <t>CPA</t>
  </si>
  <si>
    <t>revenue</t>
  </si>
  <si>
    <t>ROAS</t>
  </si>
  <si>
    <t>profit</t>
  </si>
  <si>
    <t>share_of_spend</t>
  </si>
  <si>
    <t>Google Ads</t>
  </si>
  <si>
    <t>Meta Ads</t>
  </si>
  <si>
    <t>TikTok Ads</t>
  </si>
  <si>
    <t>campaign_type</t>
  </si>
  <si>
    <t>Display</t>
  </si>
  <si>
    <t>Search</t>
  </si>
  <si>
    <t>Shopping</t>
  </si>
  <si>
    <t>Video</t>
  </si>
  <si>
    <t>current_budget</t>
  </si>
  <si>
    <t>score</t>
  </si>
  <si>
    <t>recommended_share</t>
  </si>
  <si>
    <t>recommended_budget</t>
  </si>
  <si>
    <t>budget_shift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</si>
</sst>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0.00\x"/>
    <numFmt numFmtId="167" formatCode="0.0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4" fillId="2" borderId="0" xfId="0" applyFont="1" applyFill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0" customWidth="1"/>
  </cols>
  <sheetData>
    <row r="1" spans="1:1" ht="21" x14ac:dyDescent="0.35">
      <c r="A1" s="1" t="s">
        <v>0</v>
      </c>
    </row>
    <row r="3" spans="1:1" x14ac:dyDescent="0.25">
      <c r="A3" s="2" t="s">
        <v>1</v>
      </c>
    </row>
    <row r="5" spans="1:1" x14ac:dyDescent="0.25">
      <c r="A5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</cols>
  <sheetData>
    <row r="1" spans="1:2" ht="18.75" x14ac:dyDescent="0.3">
      <c r="A1" s="3" t="s">
        <v>3</v>
      </c>
    </row>
    <row r="3" spans="1:2" x14ac:dyDescent="0.25">
      <c r="A3" s="4" t="s">
        <v>4</v>
      </c>
      <c r="B3" s="5">
        <v>11108749.09</v>
      </c>
    </row>
    <row r="4" spans="1:2" x14ac:dyDescent="0.25">
      <c r="A4" s="4" t="s">
        <v>5</v>
      </c>
      <c r="B4" s="6">
        <v>0.6</v>
      </c>
    </row>
    <row r="5" spans="1:2" x14ac:dyDescent="0.25">
      <c r="A5" s="4" t="s">
        <v>6</v>
      </c>
      <c r="B5" s="6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2" customWidth="1"/>
    <col min="4" max="4" width="10" customWidth="1"/>
    <col min="5" max="5" width="14" customWidth="1"/>
    <col min="6" max="6" width="10" customWidth="1"/>
    <col min="7" max="7" width="12" customWidth="1"/>
    <col min="8" max="8" width="14" customWidth="1"/>
    <col min="9" max="9" width="12" customWidth="1"/>
    <col min="10" max="10" width="14" customWidth="1"/>
    <col min="11" max="11" width="10" customWidth="1"/>
    <col min="12" max="12" width="14" customWidth="1"/>
    <col min="13" max="13" width="12" customWidth="1"/>
  </cols>
  <sheetData>
    <row r="1" spans="1:13" x14ac:dyDescent="0.25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</row>
    <row r="2" spans="1:13" x14ac:dyDescent="0.25">
      <c r="A2" t="s">
        <v>20</v>
      </c>
      <c r="B2">
        <v>73801150</v>
      </c>
      <c r="C2">
        <v>2936149</v>
      </c>
      <c r="D2" s="6">
        <v>3.9784596852488002E-2</v>
      </c>
      <c r="E2" s="5">
        <v>6349268.9100000001</v>
      </c>
      <c r="F2" s="5">
        <v>2.1624477879017721</v>
      </c>
      <c r="G2">
        <v>131098</v>
      </c>
      <c r="H2" s="6">
        <v>4.4649641418061499E-2</v>
      </c>
      <c r="I2" s="5">
        <v>48.43147042670369</v>
      </c>
      <c r="J2" s="5">
        <v>22033744.949999999</v>
      </c>
      <c r="K2" s="8">
        <v>3.4702806358220539</v>
      </c>
      <c r="L2" s="5">
        <v>15684476.039999999</v>
      </c>
      <c r="M2" s="6">
        <v>0.57155570429757541</v>
      </c>
    </row>
    <row r="3" spans="1:13" x14ac:dyDescent="0.25">
      <c r="A3" t="s">
        <v>21</v>
      </c>
      <c r="B3">
        <v>64403494</v>
      </c>
      <c r="C3">
        <v>1596736</v>
      </c>
      <c r="D3" s="6">
        <v>2.4792692148037799E-2</v>
      </c>
      <c r="E3" s="5">
        <v>2106061.67</v>
      </c>
      <c r="F3" s="5">
        <v>1.318979261443344</v>
      </c>
      <c r="G3">
        <v>73262</v>
      </c>
      <c r="H3" s="6">
        <v>4.5882349993987701E-2</v>
      </c>
      <c r="I3" s="5">
        <v>28.74698574977478</v>
      </c>
      <c r="J3" s="5">
        <v>11926045.789999999</v>
      </c>
      <c r="K3" s="8">
        <v>5.6627239172915571</v>
      </c>
      <c r="L3" s="5">
        <v>9819984.1199999992</v>
      </c>
      <c r="M3" s="6">
        <v>0.1895858528208057</v>
      </c>
    </row>
    <row r="4" spans="1:13" x14ac:dyDescent="0.25">
      <c r="A4" t="s">
        <v>22</v>
      </c>
      <c r="B4">
        <v>47049590</v>
      </c>
      <c r="C4">
        <v>2599931</v>
      </c>
      <c r="D4" s="6">
        <v>5.5259376330378203E-2</v>
      </c>
      <c r="E4" s="5">
        <v>2653418.5099999998</v>
      </c>
      <c r="F4" s="5">
        <v>1.020572665197653</v>
      </c>
      <c r="G4">
        <v>122452</v>
      </c>
      <c r="H4" s="6">
        <v>4.7098172989975498E-2</v>
      </c>
      <c r="I4" s="5">
        <v>21.669049995100121</v>
      </c>
      <c r="J4" s="5">
        <v>20223540.07</v>
      </c>
      <c r="K4" s="8">
        <v>7.6216925425759552</v>
      </c>
      <c r="L4" s="5">
        <v>17570121.559999999</v>
      </c>
      <c r="M4" s="6">
        <v>0.23885844288161881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2.7109375" bestFit="1" customWidth="1"/>
    <col min="5" max="5" width="14" customWidth="1"/>
    <col min="6" max="6" width="13.85546875" bestFit="1" customWidth="1"/>
    <col min="7" max="7" width="14" customWidth="1"/>
    <col min="8" max="8" width="12" customWidth="1"/>
    <col min="9" max="9" width="14" customWidth="1"/>
    <col min="10" max="10" width="10" customWidth="1"/>
    <col min="11" max="11" width="14" customWidth="1"/>
    <col min="12" max="12" width="13.85546875" bestFit="1" customWidth="1"/>
  </cols>
  <sheetData>
    <row r="1" spans="1:12" x14ac:dyDescent="0.25">
      <c r="A1" s="7" t="s">
        <v>23</v>
      </c>
      <c r="B1" s="7" t="s">
        <v>8</v>
      </c>
      <c r="C1" s="7" t="s">
        <v>9</v>
      </c>
      <c r="D1" s="7" t="s">
        <v>11</v>
      </c>
      <c r="E1" s="7" t="s">
        <v>13</v>
      </c>
      <c r="F1" s="7" t="s">
        <v>16</v>
      </c>
      <c r="G1" s="7" t="s">
        <v>10</v>
      </c>
      <c r="H1" s="7" t="s">
        <v>14</v>
      </c>
      <c r="I1" s="7" t="s">
        <v>12</v>
      </c>
      <c r="J1" s="7" t="s">
        <v>15</v>
      </c>
      <c r="K1" s="7" t="s">
        <v>17</v>
      </c>
      <c r="L1" s="7" t="s">
        <v>18</v>
      </c>
    </row>
    <row r="2" spans="1:12" x14ac:dyDescent="0.25">
      <c r="A2" t="s">
        <v>24</v>
      </c>
      <c r="B2">
        <v>43487104</v>
      </c>
      <c r="C2">
        <v>1638396</v>
      </c>
      <c r="D2" s="5">
        <v>2644735.12</v>
      </c>
      <c r="E2">
        <v>76869</v>
      </c>
      <c r="F2" s="5">
        <v>12798903.17</v>
      </c>
      <c r="G2" s="6">
        <v>3.7675445115866901E-2</v>
      </c>
      <c r="H2" s="6">
        <v>4.6917228801828102E-2</v>
      </c>
      <c r="I2" s="5">
        <v>1.61422215386268</v>
      </c>
      <c r="J2" s="5">
        <v>34.405743797889919</v>
      </c>
      <c r="K2" s="8">
        <v>4.8393894243745663</v>
      </c>
      <c r="L2" s="5">
        <v>10154168.050000001</v>
      </c>
    </row>
    <row r="3" spans="1:12" x14ac:dyDescent="0.25">
      <c r="A3" t="s">
        <v>25</v>
      </c>
      <c r="B3">
        <v>47544475</v>
      </c>
      <c r="C3">
        <v>1898227</v>
      </c>
      <c r="D3" s="5">
        <v>2868006.85</v>
      </c>
      <c r="E3">
        <v>90641</v>
      </c>
      <c r="F3" s="5">
        <v>15218470.85</v>
      </c>
      <c r="G3" s="6">
        <v>3.9925291003844197E-2</v>
      </c>
      <c r="H3" s="6">
        <v>4.77503480879789E-2</v>
      </c>
      <c r="I3" s="5">
        <v>1.510887185779151</v>
      </c>
      <c r="J3" s="5">
        <v>31.64138579671452</v>
      </c>
      <c r="K3" s="8">
        <v>5.3062881805878526</v>
      </c>
      <c r="L3" s="5">
        <v>12350464</v>
      </c>
    </row>
    <row r="4" spans="1:12" x14ac:dyDescent="0.25">
      <c r="A4" t="s">
        <v>26</v>
      </c>
      <c r="B4">
        <v>46474038</v>
      </c>
      <c r="C4">
        <v>1785310</v>
      </c>
      <c r="D4" s="5">
        <v>2799548.64</v>
      </c>
      <c r="E4">
        <v>80074</v>
      </c>
      <c r="F4" s="5">
        <v>12824695.6</v>
      </c>
      <c r="G4" s="6">
        <v>3.84152115208925E-2</v>
      </c>
      <c r="H4" s="6">
        <v>4.4851594400972299E-2</v>
      </c>
      <c r="I4" s="5">
        <v>1.568102256750928</v>
      </c>
      <c r="J4" s="5">
        <v>34.962018133226763</v>
      </c>
      <c r="K4" s="8">
        <v>4.580986883657074</v>
      </c>
      <c r="L4" s="5">
        <v>10025146.960000001</v>
      </c>
    </row>
    <row r="5" spans="1:12" x14ac:dyDescent="0.25">
      <c r="A5" t="s">
        <v>27</v>
      </c>
      <c r="B5">
        <v>47748617</v>
      </c>
      <c r="C5">
        <v>1810883</v>
      </c>
      <c r="D5" s="5">
        <v>2796458.48</v>
      </c>
      <c r="E5">
        <v>79228</v>
      </c>
      <c r="F5" s="5">
        <v>13341261.189999999</v>
      </c>
      <c r="G5" s="6">
        <v>3.7925349754109099E-2</v>
      </c>
      <c r="H5" s="6">
        <v>4.3751031955128999E-2</v>
      </c>
      <c r="I5" s="5">
        <v>1.5442513293238711</v>
      </c>
      <c r="J5" s="5">
        <v>35.296340687635677</v>
      </c>
      <c r="K5" s="8">
        <v>4.7707703459269668</v>
      </c>
      <c r="L5" s="5">
        <v>10544802.710000001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10" customWidth="1"/>
    <col min="4" max="4" width="16" customWidth="1"/>
    <col min="5" max="5" width="10" customWidth="1"/>
    <col min="6" max="6" width="16" customWidth="1"/>
    <col min="7" max="7" width="18" customWidth="1"/>
    <col min="8" max="8" width="16" customWidth="1"/>
  </cols>
  <sheetData>
    <row r="1" spans="1:8" x14ac:dyDescent="0.25">
      <c r="A1" s="7" t="s">
        <v>7</v>
      </c>
      <c r="B1" s="7" t="s">
        <v>28</v>
      </c>
      <c r="C1" s="7" t="s">
        <v>17</v>
      </c>
      <c r="D1" s="7" t="s">
        <v>14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x14ac:dyDescent="0.25">
      <c r="A2" t="str">
        <f>'Platform KPIs'!A2</f>
        <v>Google Ads</v>
      </c>
      <c r="B2" s="5">
        <f>'Platform KPIs'!E2</f>
        <v>6349268.9100000001</v>
      </c>
      <c r="C2" s="8">
        <f>'Platform KPIs'!K2</f>
        <v>3.4702806358220539</v>
      </c>
      <c r="D2" s="6">
        <f>'Platform KPIs'!H2</f>
        <v>4.4649641418061499E-2</v>
      </c>
      <c r="E2" s="9">
        <f>(C2/MAX($C$2:$C$4))*Inputs!$B$4+(D2/MAX($D$2:$D$4))*Inputs!$B$5</f>
        <v>0.65239463330730774</v>
      </c>
      <c r="F2" s="6">
        <f>E2/SUM($E$2:$E$4)</f>
        <v>0.26223193043517201</v>
      </c>
      <c r="G2" s="5">
        <f>F2*Inputs!$B$3</f>
        <v>2913068.7185906605</v>
      </c>
      <c r="H2" s="5">
        <f>G2-B2</f>
        <v>-3436200.1914093397</v>
      </c>
    </row>
    <row r="3" spans="1:8" x14ac:dyDescent="0.25">
      <c r="A3" t="str">
        <f>'Platform KPIs'!A3</f>
        <v>Meta Ads</v>
      </c>
      <c r="B3" s="5">
        <f>'Platform KPIs'!E3</f>
        <v>2106061.67</v>
      </c>
      <c r="C3" s="8">
        <f>'Platform KPIs'!K3</f>
        <v>5.6627239172915571</v>
      </c>
      <c r="D3" s="6">
        <f>'Platform KPIs'!H3</f>
        <v>4.5882349993987701E-2</v>
      </c>
      <c r="E3" s="9">
        <f>(C3/MAX($C$2:$C$4))*Inputs!$B$4+(D3/MAX($D$2:$D$4))*Inputs!$B$5</f>
        <v>0.83545889476863455</v>
      </c>
      <c r="F3" s="6">
        <f>E3/SUM($E$2:$E$4)</f>
        <v>0.33581514560254766</v>
      </c>
      <c r="G3" s="5">
        <f>F3*Inputs!$B$3</f>
        <v>3730486.1931205187</v>
      </c>
      <c r="H3" s="5">
        <f>G3-B3</f>
        <v>1624424.5231205188</v>
      </c>
    </row>
    <row r="4" spans="1:8" x14ac:dyDescent="0.25">
      <c r="A4" t="str">
        <f>'Platform KPIs'!A4</f>
        <v>TikTok Ads</v>
      </c>
      <c r="B4" s="5">
        <f>'Platform KPIs'!E4</f>
        <v>2653418.5099999998</v>
      </c>
      <c r="C4" s="8">
        <f>'Platform KPIs'!K4</f>
        <v>7.6216925425759552</v>
      </c>
      <c r="D4" s="6">
        <f>'Platform KPIs'!H4</f>
        <v>4.7098172989975498E-2</v>
      </c>
      <c r="E4" s="9">
        <f>(C4/MAX($C$2:$C$4))*Inputs!$B$4+(D4/MAX($D$2:$D$4))*Inputs!$B$5</f>
        <v>1</v>
      </c>
      <c r="F4" s="6">
        <f>E4/SUM($E$2:$E$4)</f>
        <v>0.40195292396228027</v>
      </c>
      <c r="G4" s="5">
        <f>F4*Inputs!$B$3</f>
        <v>4465194.1782888202</v>
      </c>
      <c r="H4" s="5">
        <f>G4-B4</f>
        <v>1811775.6682888204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Inputs</vt:lpstr>
      <vt:lpstr>Platform KPIs</vt:lpstr>
      <vt:lpstr>Campaign Types</vt:lpstr>
      <vt:lpstr>Budget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 Digital Marketing</cp:lastModifiedBy>
  <dcterms:created xsi:type="dcterms:W3CDTF">2026-03-19T04:00:59Z</dcterms:created>
  <dcterms:modified xsi:type="dcterms:W3CDTF">2026-03-19T04:35:12Z</dcterms:modified>
</cp:coreProperties>
</file>